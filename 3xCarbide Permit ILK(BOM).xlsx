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op\Documents\_KiCADwork\GitWork\KiCAD_3xCarbide-ILK\"/>
    </mc:Choice>
  </mc:AlternateContent>
  <xr:revisionPtr revIDLastSave="0" documentId="13_ncr:9_{6CE25C13-DA78-4DC1-ACF5-8D2E98AC0373}" xr6:coauthVersionLast="47" xr6:coauthVersionMax="47" xr10:uidLastSave="{00000000-0000-0000-0000-000000000000}"/>
  <bookViews>
    <workbookView xWindow="11265" yWindow="-18960" windowWidth="27345" windowHeight="14115" xr2:uid="{342D2514-BD5C-4A37-9260-FFF5CCCA79E4}"/>
  </bookViews>
  <sheets>
    <sheet name="3xCarbide Permit ILK" sheetId="1" r:id="rId1"/>
  </sheets>
  <calcPr calcId="0"/>
</workbook>
</file>

<file path=xl/calcChain.xml><?xml version="1.0" encoding="utf-8"?>
<calcChain xmlns="http://schemas.openxmlformats.org/spreadsheetml/2006/main">
  <c r="G17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<sst xmlns="http://schemas.openxmlformats.org/spreadsheetml/2006/main" count="76" uniqueCount="71">
  <si>
    <t>Reference</t>
  </si>
  <si>
    <t>Qty</t>
  </si>
  <si>
    <t>Value</t>
  </si>
  <si>
    <t>Info</t>
  </si>
  <si>
    <t>Mfr</t>
  </si>
  <si>
    <t>Cost</t>
  </si>
  <si>
    <t>Description</t>
  </si>
  <si>
    <t>Datasheet</t>
  </si>
  <si>
    <t>TB-A3,TB-A4,TB-B3,TB-B4,TB3,TB4</t>
  </si>
  <si>
    <t>3208208/BLU</t>
  </si>
  <si>
    <t>Terminal Block Connector 4 Position Feed Through Gray 14-26 AWG</t>
  </si>
  <si>
    <t>Phoenix Contact</t>
  </si>
  <si>
    <t>https://www.phoenixcontact.com/en-us/products/multi-conductor-terminal-block-pt-15s-quattro-3208197</t>
  </si>
  <si>
    <t>TB-A1,TB-A2,TB-B1,TB-B2,TB1,TB2</t>
  </si>
  <si>
    <t>3208197/GRY</t>
  </si>
  <si>
    <t>SW1,SW2,SW3,SW4,SW5,SW6</t>
  </si>
  <si>
    <t>18535CD</t>
  </si>
  <si>
    <t>APEM Inc.</t>
  </si>
  <si>
    <t>SWITCH PUSH SPDT 0.1A 30V, Electrical Life 60,000 Cycles, 100 mA(DC)</t>
  </si>
  <si>
    <t>SSR-StsA1,SSR-StsA2,SSR-StsA3</t>
  </si>
  <si>
    <t>SSR RELAY SPST-NO 3A 3-33V</t>
  </si>
  <si>
    <t>https://mm.digikey.com/Volume0/opasdata/d220001/medias/docus/6166/RIF-0-OPT-24DC_24DC_2.pdf</t>
  </si>
  <si>
    <t>SSR-A0,SSR-A1,SSR-A2,SSR-A3,SSR-B0,SSR-B1,SSR-B2,SSR-B3</t>
  </si>
  <si>
    <t>Murr</t>
  </si>
  <si>
    <t>MIRO TR 24VDC 20KHZ IN&lt;1MA OPTO-</t>
  </si>
  <si>
    <t>https://www.mouser.com/datasheet/3/5927/2/52511_Product_PDF_en.pdf</t>
  </si>
  <si>
    <t>PTJP1,PTJP2,PTJP3,PTJP4,PTJP5</t>
  </si>
  <si>
    <t>JUMPER TERM BLK 2POS FLAT PIN</t>
  </si>
  <si>
    <t>https://www.digikey.com/en/products/detail/phoenix-contact/3213014/3603870</t>
  </si>
  <si>
    <t>PS1</t>
  </si>
  <si>
    <t>100 VAC to 240 VAC, 24 VDC @5A</t>
  </si>
  <si>
    <t>Phoenix Cont</t>
  </si>
  <si>
    <t>Power Supplies - DIN Rail Mount TRIO3-PS/1AC/24DC/5/CO</t>
  </si>
  <si>
    <t>https://www.mouser.com/datasheet/3/507/8/phoenix_contact_1523018_en.pdf</t>
  </si>
  <si>
    <t>LED1,LED2,LED3,LED4,LED5,LED6</t>
  </si>
  <si>
    <t>GRN/24V</t>
  </si>
  <si>
    <t>TT Electronics</t>
  </si>
  <si>
    <t>LED GREEN CLEAR 5MM T/H</t>
  </si>
  <si>
    <t>https://www.digikey.com/en/products/detail/tt-electronics-optek-technology/OVLFG3C7/827117</t>
  </si>
  <si>
    <t>J7</t>
  </si>
  <si>
    <t>6100.3300.33</t>
  </si>
  <si>
    <t>SCHURTER Inc.</t>
  </si>
  <si>
    <t>Power Entry Connector Receptacle, Male Blades - Module IEC 320-C14 Panel Mount, Flange</t>
  </si>
  <si>
    <t>https://www.schurter.com/en/datasheet/typ_6100-3.pdf</t>
  </si>
  <si>
    <t>J3,J4,J5,J6</t>
  </si>
  <si>
    <t>UT00104SH</t>
  </si>
  <si>
    <t>Sourau</t>
  </si>
  <si>
    <t>Standard Circular Connector 4P Sckt Receptacle Wall Mount Size 10</t>
  </si>
  <si>
    <t>https://www.mouser.com/en/ProductDetail/Souriau/UT00104SH?qs=mr%2FYtQLfk94wFcjVT2Rx9A%3D%3D</t>
  </si>
  <si>
    <t>J1,J2</t>
  </si>
  <si>
    <t>UT00104PH</t>
  </si>
  <si>
    <t>Souriau</t>
  </si>
  <si>
    <t>Standard Circular Connector 4P Pin Receptacle Wall Mount Size 10</t>
  </si>
  <si>
    <t>https://www.mouser.com/datasheet/3/464/1/C001-UT00-A.pdf</t>
  </si>
  <si>
    <t>FH1</t>
  </si>
  <si>
    <t>03420014H</t>
  </si>
  <si>
    <t>120V/3A</t>
  </si>
  <si>
    <t>Littelfuse Inc.</t>
  </si>
  <si>
    <t>Fuse Holder 20 A 250V 1 Circuit Cartridge Panel Mount, 3AG, 1/4" x 1-1/4" (SFE-20)</t>
  </si>
  <si>
    <t>https://www.littelfuse.com/assetdocs/littelfuse_fuse_holder_342_datasheet.pdf?assetguid=754641e2-4a21-4794-9216-6e2082e5c619</t>
  </si>
  <si>
    <t>F1,TB-F2</t>
  </si>
  <si>
    <t>1A,3A</t>
  </si>
  <si>
    <t>WeidmÃ¼ller</t>
  </si>
  <si>
    <t>CONN TERM BLK DISCONN 10-30AWG Fuse Type: 6.3mm x 32mm</t>
  </si>
  <si>
    <t>DPM1,DPM2,DPM3</t>
  </si>
  <si>
    <t>DPM1-A-2R-L</t>
  </si>
  <si>
    <t>ProSense</t>
  </si>
  <si>
    <t>DPM, +/-20mA, 1/32 DIN, 4-digit LED, 21-53 VAC/10.5-70 VDC, (2) 5A SPST relays</t>
  </si>
  <si>
    <t>https://www.automationdirect.com/adc/shopping/catalog/process_control_-a-_measurement/digital_panel_meters/analog_input/dpm1-a-2r-l</t>
  </si>
  <si>
    <t>Sub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</si>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</sst>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19C3-377B-448B-A9F0-854C754AC036}">
  <dimension ref="A1:I17"/>
  <sheetViews>
    <sheetView tabSelected="1" workbookViewId="0">
      <selection activeCell="E24" sqref="E24"/>
    </sheetView>
  </sheetViews>
  <sheetFormatPr defaultRowHeight="14.4" x14ac:dyDescent="0.3"/>
  <cols>
    <col min="1" max="1" width="52.109375" customWidth="1"/>
    <col min="2" max="2" width="13.88671875" style="3" customWidth="1"/>
    <col min="5" max="5" width="14.88671875" bestFit="1" customWidth="1"/>
    <col min="7" max="7" width="9.6640625" bestFit="1" customWidth="1"/>
    <col min="8" max="8" width="79.33203125" bestFit="1" customWidth="1"/>
    <col min="9" max="9" width="126.6640625" bestFit="1" customWidth="1"/>
  </cols>
  <sheetData>
    <row r="1" spans="1:9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69</v>
      </c>
      <c r="H1" t="s">
        <v>6</v>
      </c>
      <c r="I1" t="s">
        <v>7</v>
      </c>
    </row>
    <row r="2" spans="1:9" x14ac:dyDescent="0.3">
      <c r="A2" t="s">
        <v>8</v>
      </c>
      <c r="B2" s="3">
        <v>6</v>
      </c>
      <c r="C2" t="s">
        <v>9</v>
      </c>
      <c r="D2" t="s">
        <v>10</v>
      </c>
      <c r="E2" t="s">
        <v>11</v>
      </c>
      <c r="F2" s="1">
        <v>1.83</v>
      </c>
      <c r="G2" s="1">
        <f>B2*F2</f>
        <v>10.98</v>
      </c>
      <c r="I2" t="s">
        <v>12</v>
      </c>
    </row>
    <row r="3" spans="1:9" x14ac:dyDescent="0.3">
      <c r="A3" t="s">
        <v>13</v>
      </c>
      <c r="B3" s="3">
        <v>6</v>
      </c>
      <c r="C3" t="s">
        <v>14</v>
      </c>
      <c r="D3" t="s">
        <v>10</v>
      </c>
      <c r="E3" t="s">
        <v>11</v>
      </c>
      <c r="F3" s="1">
        <v>1.83</v>
      </c>
      <c r="G3" s="1">
        <f t="shared" ref="G3:G15" si="0">B3*F3</f>
        <v>10.98</v>
      </c>
      <c r="I3" t="s">
        <v>12</v>
      </c>
    </row>
    <row r="4" spans="1:9" x14ac:dyDescent="0.3">
      <c r="A4" t="s">
        <v>15</v>
      </c>
      <c r="B4" s="3">
        <v>6</v>
      </c>
      <c r="C4" t="s">
        <v>16</v>
      </c>
      <c r="E4" t="s">
        <v>17</v>
      </c>
      <c r="F4" s="1">
        <v>12.96</v>
      </c>
      <c r="G4" s="1">
        <f t="shared" si="0"/>
        <v>77.760000000000005</v>
      </c>
      <c r="H4" t="s">
        <v>18</v>
      </c>
    </row>
    <row r="5" spans="1:9" x14ac:dyDescent="0.3">
      <c r="A5" t="s">
        <v>19</v>
      </c>
      <c r="B5" s="3">
        <v>3</v>
      </c>
      <c r="C5">
        <v>2905293</v>
      </c>
      <c r="E5" t="s">
        <v>11</v>
      </c>
      <c r="F5" s="1">
        <v>26.47</v>
      </c>
      <c r="G5" s="1">
        <f t="shared" si="0"/>
        <v>79.41</v>
      </c>
      <c r="H5" t="s">
        <v>20</v>
      </c>
      <c r="I5" t="s">
        <v>21</v>
      </c>
    </row>
    <row r="6" spans="1:9" x14ac:dyDescent="0.3">
      <c r="A6" t="s">
        <v>22</v>
      </c>
      <c r="B6" s="3">
        <v>8</v>
      </c>
      <c r="C6">
        <v>52511</v>
      </c>
      <c r="E6" t="s">
        <v>23</v>
      </c>
      <c r="F6" s="2">
        <v>63</v>
      </c>
      <c r="G6" s="1">
        <f t="shared" si="0"/>
        <v>504</v>
      </c>
      <c r="H6" t="s">
        <v>24</v>
      </c>
      <c r="I6" t="s">
        <v>25</v>
      </c>
    </row>
    <row r="7" spans="1:9" x14ac:dyDescent="0.3">
      <c r="A7" t="s">
        <v>26</v>
      </c>
      <c r="B7" s="3">
        <v>5</v>
      </c>
      <c r="C7">
        <v>3213014</v>
      </c>
      <c r="E7" t="s">
        <v>11</v>
      </c>
      <c r="F7" s="1">
        <v>0.69</v>
      </c>
      <c r="G7" s="1">
        <f t="shared" si="0"/>
        <v>3.4499999999999997</v>
      </c>
      <c r="H7" t="s">
        <v>27</v>
      </c>
      <c r="I7" t="s">
        <v>28</v>
      </c>
    </row>
    <row r="8" spans="1:9" x14ac:dyDescent="0.3">
      <c r="A8" t="s">
        <v>29</v>
      </c>
      <c r="B8" s="3">
        <v>1</v>
      </c>
      <c r="C8">
        <v>1523018</v>
      </c>
      <c r="D8" t="s">
        <v>30</v>
      </c>
      <c r="E8" t="s">
        <v>31</v>
      </c>
      <c r="F8" s="1">
        <v>138.29</v>
      </c>
      <c r="G8" s="1">
        <f t="shared" si="0"/>
        <v>138.29</v>
      </c>
      <c r="H8" t="s">
        <v>32</v>
      </c>
      <c r="I8" t="s">
        <v>33</v>
      </c>
    </row>
    <row r="9" spans="1:9" x14ac:dyDescent="0.3">
      <c r="A9" t="s">
        <v>34</v>
      </c>
      <c r="B9" s="3">
        <v>6</v>
      </c>
      <c r="C9" t="s">
        <v>35</v>
      </c>
      <c r="E9" t="s">
        <v>36</v>
      </c>
      <c r="F9" s="1">
        <v>0.44</v>
      </c>
      <c r="G9" s="1">
        <f t="shared" si="0"/>
        <v>2.64</v>
      </c>
      <c r="H9" t="s">
        <v>37</v>
      </c>
      <c r="I9" t="s">
        <v>38</v>
      </c>
    </row>
    <row r="10" spans="1:9" x14ac:dyDescent="0.3">
      <c r="A10" t="s">
        <v>39</v>
      </c>
      <c r="B10" s="3">
        <v>1</v>
      </c>
      <c r="C10" t="s">
        <v>40</v>
      </c>
      <c r="E10" t="s">
        <v>41</v>
      </c>
      <c r="F10" s="1">
        <v>15.18</v>
      </c>
      <c r="G10" s="1">
        <f t="shared" si="0"/>
        <v>15.18</v>
      </c>
      <c r="H10" t="s">
        <v>42</v>
      </c>
      <c r="I10" t="s">
        <v>43</v>
      </c>
    </row>
    <row r="11" spans="1:9" x14ac:dyDescent="0.3">
      <c r="A11" t="s">
        <v>44</v>
      </c>
      <c r="B11" s="3">
        <v>4</v>
      </c>
      <c r="C11" t="s">
        <v>45</v>
      </c>
      <c r="E11" t="s">
        <v>46</v>
      </c>
      <c r="F11" s="1">
        <v>24.98</v>
      </c>
      <c r="G11" s="1">
        <f t="shared" si="0"/>
        <v>99.92</v>
      </c>
      <c r="H11" t="s">
        <v>47</v>
      </c>
      <c r="I11" t="s">
        <v>48</v>
      </c>
    </row>
    <row r="12" spans="1:9" x14ac:dyDescent="0.3">
      <c r="A12" t="s">
        <v>49</v>
      </c>
      <c r="B12" s="3">
        <v>2</v>
      </c>
      <c r="C12" t="s">
        <v>50</v>
      </c>
      <c r="E12" t="s">
        <v>51</v>
      </c>
      <c r="F12" s="1">
        <v>22.73</v>
      </c>
      <c r="G12" s="1">
        <f t="shared" si="0"/>
        <v>45.46</v>
      </c>
      <c r="H12" t="s">
        <v>52</v>
      </c>
      <c r="I12" t="s">
        <v>53</v>
      </c>
    </row>
    <row r="13" spans="1:9" x14ac:dyDescent="0.3">
      <c r="A13" t="s">
        <v>54</v>
      </c>
      <c r="B13" s="3">
        <v>1</v>
      </c>
      <c r="C13" t="s">
        <v>55</v>
      </c>
      <c r="D13" t="s">
        <v>56</v>
      </c>
      <c r="E13" t="s">
        <v>57</v>
      </c>
      <c r="F13" s="1">
        <v>6.16</v>
      </c>
      <c r="G13" s="1">
        <f t="shared" si="0"/>
        <v>6.16</v>
      </c>
      <c r="H13" t="s">
        <v>58</v>
      </c>
      <c r="I13" t="s">
        <v>59</v>
      </c>
    </row>
    <row r="14" spans="1:9" x14ac:dyDescent="0.3">
      <c r="A14" t="s">
        <v>60</v>
      </c>
      <c r="B14" s="3">
        <v>2</v>
      </c>
      <c r="C14">
        <v>1880410000</v>
      </c>
      <c r="D14" t="s">
        <v>61</v>
      </c>
      <c r="E14" t="s">
        <v>62</v>
      </c>
      <c r="F14" s="1">
        <v>33.68</v>
      </c>
      <c r="G14" s="1">
        <f t="shared" si="0"/>
        <v>67.36</v>
      </c>
      <c r="H14" t="s">
        <v>63</v>
      </c>
    </row>
    <row r="15" spans="1:9" x14ac:dyDescent="0.3">
      <c r="A15" t="s">
        <v>64</v>
      </c>
      <c r="B15" s="3">
        <v>3</v>
      </c>
      <c r="C15" t="s">
        <v>65</v>
      </c>
      <c r="E15" t="s">
        <v>66</v>
      </c>
      <c r="F15" s="2">
        <v>151</v>
      </c>
      <c r="G15" s="1">
        <f t="shared" si="0"/>
        <v>453</v>
      </c>
      <c r="H15" t="s">
        <v>67</v>
      </c>
      <c r="I15" t="s">
        <v>68</v>
      </c>
    </row>
    <row r="17" spans="1:7" x14ac:dyDescent="0.3">
      <c r="A17" t="s">
        <v>70</v>
      </c>
      <c r="G17" s="1">
        <f>SUM(G2:G15)</f>
        <v>1514.59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3xCarbide Permit ILK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Jino</dc:creator>
  <cp:lastModifiedBy>Park, Jino</cp:lastModifiedBy>
  <dcterms:created xsi:type="dcterms:W3CDTF">2026-08-17T18:58:26Z</dcterms:created>
  <dcterms:modified xsi:type="dcterms:W3CDTF">2026-08-17T18:59:59Z</dcterms:modified>
</cp:coreProperties>
</file>